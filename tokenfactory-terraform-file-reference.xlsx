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le Reference" sheetId="1" state="visible" r:id="rId3"/>
    <sheet name="Category Summary"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<sst xmlns="http://schemas.openxmlformats.org/spreadsheetml/2006/main" count="130" uniqueCount="92">
  <si>
    <t xml:space="preserve">File</t>
  </si>
  <si>
    <t xml:space="preserve">Category</t>
  </si>
  <si>
    <t xml:space="preserve">Status</t>
  </si>
  <si>
    <t xml:space="preserve">What It Provisions</t>
  </si>
  <si>
    <t xml:space="preserve">Key Resources</t>
  </si>
  <si>
    <t xml:space="preserve">Notes / Dependencies</t>
  </si>
  <si>
    <t xml:space="preserve">main.tf</t>
  </si>
  <si>
    <t xml:space="preserve">Foundation</t>
  </si>
  <si>
    <t xml:space="preserve">Live</t>
  </si>
  <si>
    <t xml:space="preserve">The resource group everything else lives in.</t>
  </si>
  <si>
    <t xml:space="preserve">azurerm_resource_group.rg (rg-tokenfactory)</t>
  </si>
  <si>
    <t xml:space="preserve">First resource Terraform creates; every other file references azurerm_resource_group.rg.</t>
  </si>
  <si>
    <t xml:space="preserve">providers.tf</t>
  </si>
  <si>
    <t xml:space="preserve">Remote state backend + provider version pins.</t>
  </si>
  <si>
    <t xml:space="preserve">backend "azurerm" (blob state); azurerm ~&gt;3.0, random ~&gt;3.0, time ~&gt;0.11, azapi ~&gt;2.0</t>
  </si>
  <si>
    <t xml:space="preserve">azurerm is deliberately pinned to v3 across all 82 live resources (not v4) to avoid an unrelated breaking upgrade -- azapi covers anything v3 can't (e.g. Redis Enterprise).</t>
  </si>
  <si>
    <t xml:space="preserve">variables.tf</t>
  </si>
  <si>
    <t xml:space="preserve">All configurable defaults: location, CIDRs, PG sizing, AKS version, DNS resolver IP, etc.</t>
  </si>
  <si>
    <t xml:space="preserve">location=UAE North; vnet_address_space=10.40.0.0/16; subnets map; pg_sku_name; kubernetes_version</t>
  </si>
  <si>
    <t xml:space="preserve">terraform.tfvars overrides only one of these (p2s_root_cert_data) -- everything else runs on the default.</t>
  </si>
  <si>
    <t xml:space="preserve">backend.tf</t>
  </si>
  <si>
    <t xml:space="preserve">The remote-state storage account itself, plus its own private endpoint.</t>
  </si>
  <si>
    <t xml:space="preserve">azurerm_storage_account.tfstate (ZRS, versioned); azurerm_storage_container.tfstate; its PE</t>
  </si>
  <si>
    <t xml:space="preserve">Chicken-and-egg resource: state storage has to exist before it can store state, so this was bootstrapped once then migrated to remote backend.</t>
  </si>
  <si>
    <t xml:space="preserve">network.tf</t>
  </si>
  <si>
    <t xml:space="preserve">Networking</t>
  </si>
  <si>
    <t xml:space="preserve">The VNet, the generic subnet map, and the dedicated delegated PostgreSQL subnet.</t>
  </si>
  <si>
    <t xml:space="preserve">azurerm_virtual_network.vnet (10.40.0.0/16); azurerm_subnet.this (for_each); azurerm_subnet.pg (delegated)</t>
  </si>
  <si>
    <t xml:space="preserve">vnet.dns_servers points at the private DNS resolver's inbound IP (10.40.4.4), not Azure's platform DNS -- see dns_resolver.tf.</t>
  </si>
  <si>
    <t xml:space="preserve">nsg.tf</t>
  </si>
  <si>
    <t xml:space="preserve">Three network security groups locking down who can reach what inside the VNet.</t>
  </si>
  <si>
    <t xml:space="preserve">nsg-pg (5432 from AKS+mgmt only); nsg-pe (private endpoints, AKS+mgmt only); nsg-aks (node-to-node + pod CIDR + LB health probes, deny-VNet default)</t>
  </si>
  <si>
    <t xml:space="preserve">nsg-aks allows the pod CIDR (10.244.0.0/16) explicitly -- it's outside the VNet address space, so cross-node pod traffic wouldn't otherwise match any rule (this broke CoreDNS once, live-debugged).</t>
  </si>
  <si>
    <t xml:space="preserve">route_table.tf</t>
  </si>
  <si>
    <t xml:space="preserve">Forces all egress through the firewall (hub-and-spoke pattern).</t>
  </si>
  <si>
    <t xml:space="preserve">azurerm_route_table.rt (0.0.0.0/0 -&gt; firewall private IP); associations to snet-aks, snet-mgmt, snet-pg</t>
  </si>
  <si>
    <t xml:space="preserve">Nothing in those subnets can reach the internet except through firewall.tf's allow-listed rules.</t>
  </si>
  <si>
    <t xml:space="preserve">firewall.tf</t>
  </si>
  <si>
    <t xml:space="preserve">Azure Firewall + every egress rule the platform and the app need.</t>
  </si>
  <si>
    <t xml:space="preserve">AKS bootstrap, jumphost package installs, Entra/ARM control plane, apt mirror, AMA, ACR/GHCR/Docker Hub pulls, GitHub+Maven, app egress (Stripe/Resend/Entra/Google), Cloudflare Tunnel (network rules, UDP/TCP 7844), NTP</t>
  </si>
  <si>
    <t xml:space="preserve">Cloudflare Tunnel uses IP-range network rules, not FQDN application rules -- cloudflared talks 7844, not 443, and DNS proxy is off. Logging is currently disabled, so deny-log debugging needs logging.tf.disabled re-enabled first.</t>
  </si>
  <si>
    <t xml:space="preserve">aks.tf</t>
  </si>
  <si>
    <t xml:space="preserve">Compute</t>
  </si>
  <si>
    <t xml:space="preserve">The private AKS cluster and its two node pools.</t>
  </si>
  <si>
    <t xml:space="preserve">azurerm_kubernetes_cluster.aks (private, Cilium overlay, workload identity, KV secrets provider); agentpool (D4as_v5, system); userpool (D8as_v5, user); AcrPull role</t>
  </si>
  <si>
    <t xml:space="preserve">Auth is local accounts + k8s RBAC -- Entra ID RBAC for AKS was deliberately left off for now.</t>
  </si>
  <si>
    <t xml:space="preserve">acr.tf</t>
  </si>
  <si>
    <t xml:space="preserve">Premium Azure Container Registry, private only.</t>
  </si>
  <si>
    <t xml:space="preserve">azurerm_container_registry.acr (Premium, admin disabled, public access off); private endpoint + DNS zone</t>
  </si>
  <si>
    <t xml:space="preserve">AKS pulls via its kubelet identity's AcrPull role (assigned in aks.tf), not via admin credentials.</t>
  </si>
  <si>
    <t xml:space="preserve">keyvault.tf</t>
  </si>
  <si>
    <t xml:space="preserve">Security</t>
  </si>
  <si>
    <t xml:space="preserve">Central secrets store, RBAC-mode, private only.</t>
  </si>
  <si>
    <t xml:space="preserve">azurerm_key_vault.kv (RBAC auth, purge protection, private); Key Vault Administrator role (you); Key Vault Secrets User role (AKS CSI driver's managed identity)</t>
  </si>
  <si>
    <t xml:space="preserve">Every credential in this project (PG admin password, and the planned Redis password) flows through here via the AKS Secrets Store CSI driver into the tokenfactory-secrets k8s Secret.</t>
  </si>
  <si>
    <t xml:space="preserve">postgresql.tf</t>
  </si>
  <si>
    <t xml:space="preserve">Data</t>
  </si>
  <si>
    <t xml:space="preserve">PostgreSQL Flexible Server with zone-redundant HA, plus the 5 app databases.</t>
  </si>
  <si>
    <t xml:space="preserve">azurerm_postgresql_flexible_server.pg (GP_Standard_D8ds_v5, zone 1 / standby zone 2); 5 databases (tokenfactory, keycloak, openmeter, svix, openfga); admin password -&gt; KV secret</t>
  </si>
  <si>
    <t xml:space="preserve">Still only has the pgadmintf superuser -- the chart expects per-app roles (tokenfactory/keycloak/openfga) that haven't been created yet (tracked in project pending-items doc).</t>
  </si>
  <si>
    <t xml:space="preserve">storage_pe.tf</t>
  </si>
  <si>
    <t xml:space="preserve">Private endpoint for the Event Hub capture archive storage account.</t>
  </si>
  <si>
    <t xml:space="preserve">azurerm_private_dns_zone.blob + link; azurerm_private_endpoint.archive_blob</t>
  </si>
  <si>
    <t xml:space="preserve">Needed because the archive storage account denies public network access by default -- same-region VNet traffic doesn't match IP rules, only a private endpoint works.</t>
  </si>
  <si>
    <t xml:space="preserve">eventhub.tf</t>
  </si>
  <si>
    <t xml:space="preserve">Event Hubs namespace, 7 hubs, capture-to-blob for 3 DLQ hubs, and the RBAC the capture write path needs.</t>
  </si>
  <si>
    <t xml:space="preserve">azurerm_eventhub_namespace.ehns (Standard, private); 7 azurerm_eventhub (3 with Avro capture); Storage Blob Data Owner role + 150s propagation delay; private endpoint + DNS</t>
  </si>
  <si>
    <t xml:space="preserve">This is purely for OpenMeter's own Helm release, not the tokenfactory chart -- Kafka/Event Hubs config lives in a separate values-openmeter-prod.yaml.</t>
  </si>
  <si>
    <t xml:space="preserve">bastion.tf</t>
  </si>
  <si>
    <t xml:space="preserve">Access / Identity</t>
  </si>
  <si>
    <t xml:space="preserve">Azure Bastion -- the only way into the VNet for people.</t>
  </si>
  <si>
    <t xml:space="preserve">azurerm_bastion_host.bastion (Standard SKU, tunneling + copy-paste enabled); its public IP</t>
  </si>
  <si>
    <t xml:space="preserve">Tunneling enabled is what lets az cli / kubectl / psql work from a laptop through Bastion to the jumphost, not just a browser RDP/SSH session.</t>
  </si>
  <si>
    <t xml:space="preserve">jumphost.tf</t>
  </si>
  <si>
    <t xml:space="preserve">The one VM inside the VNet that engineers actually work from.</t>
  </si>
  <si>
    <t xml:space="preserve">azurerm_linux_virtual_machine.jumphost (D2as_v5); NSG (SSH from Bastion subnet only); AADSSHLoginForLinux extension</t>
  </si>
  <si>
    <t xml:space="preserve">The VM's system-assigned identity is deliberately given zero Azure roles -- it exists only so the AAD SSH extension has a device identity, never to access other resources (commented in the file as "ISKO KABHI ROLE MAT DENA" / never give this identity a role).</t>
  </si>
  <si>
    <t xml:space="preserve">vpn_gateway.tf</t>
  </si>
  <si>
    <t xml:space="preserve">Point-to-site VPN gateway so engineers' laptops can join the VNet.</t>
  </si>
  <si>
    <t xml:space="preserve">azurerm_virtual_network_gateway.vgw (VpnGw1AZ, route-based); P2S client pool 172.16.0.0/24; root cert trust</t>
  </si>
  <si>
    <t xml:space="preserve">Terraform itself has to run over this VPN for anything that touches a private-endpoint-only resource (e.g. the Key Vault secret writes in postgresql.tf).</t>
  </si>
  <si>
    <t xml:space="preserve">dns_resolver.tf</t>
  </si>
  <si>
    <t xml:space="preserve">Private DNS resolver so P2S VPN clients can resolve private-endpoint hostnames.</t>
  </si>
  <si>
    <t xml:space="preserve">azurerm_private_dns_resolver.this; inbound endpoint, static IP 10.40.4.4</t>
  </si>
  <si>
    <t xml:space="preserve">Fixes a real outage: Azure's platform DNS (168.63.129.16) is only reachable from inside an Azure VM, not over a P2S tunnel -- the earlier network.tf.pre-dnsresolver snapshot pointed VNet DNS there and VPN clients lost all internet access on connect.</t>
  </si>
  <si>
    <t xml:space="preserve">redis.tf</t>
  </si>
  <si>
    <t xml:space="preserve">Azure Managed Redis (Enterprise engine) via the azapi provider -- deployed and running.</t>
  </si>
  <si>
    <t xml:space="preserve">azapi_resource Microsoft.Cache/redisEnterprise (Balanced_B10, 12GB) @2025-04-01; database @2025-07-01 -- clusteringPolicy=NoCluster, evictionPolicy=NoEviction, port 10000; listKeys -&gt; KV secret "redis-password"</t>
  </si>
  <si>
    <t xml:space="preserve">DEPLOYED 2026-10-12, confirmed in Azure Portal: Server status Running, Database status Running, Clustering Policy NoCluster, Performance tier Balanced B10 (12GB), High availability Enabled, Redis version 7.4, private endpoint shows 1 connection. The earlier B20-&gt;B10 scale-down risk resolved successfully (cluster was evidently destroyed/recreated rather than updated in place -- confirm which, for the record). 
Two API versions deliberately split across parent/child: cluster stays on 2025-04-01 (moving it to 2025-07-01 would require properties.publicNetworkAccess, which can't be set on a cluster created under an older API version -- confirmed against Microsoft's own SDK docs); the database is on 2025-07-01 because NoCluster isn't a valid clusteringPolicy value until that version (ARM returned a 400 at 2025-04-01, which is what the first apply hit). clusteringPolicy=NoCluster replaces EnterpriseCluster after a real production CROSSSLOT failure (11 Oct) -- EnterpriseCluster gives one endpoint but keeps keys sharded, and tf-ledger's EVALSHA across granted/used keys isn't on the cross-slot allowlist. evictionPolicy changed to NoEviction (was VolatileLRU, which would've evicted TTL'd reservation-holds first under pressure). 
WATCH ITEM: Portal shows Public network access = "Not set", not "Disabled" -- a direct consequence of pinning the cluster at the older API version (that property doesn't exist there to set). Every other private resource in this architecture (KV, ACR, PG) explicitly sets public access to Disabled; Redis is the one exception. Private endpoint traffic still routes privately (1 connection shown), but "not set" isn't the same guarantee as "disabled" -- worth confirming this is acceptable.</t>
  </si>
  <si>
    <t xml:space="preserve">File Count</t>
  </si>
  <si>
    <t xml:space="preserve">Total</t>
  </si>
  <si>
    <t xml:space="preserve">Note: counts are live formulas (COUNTIF) against the File Reference sheet -- add a row there and this table + chart update automatically.</t>
  </si>
</sst>
</file>

<file path=xl/styles.xml><?xml version="1.0" encoding="utf-8"?>
<styleSheet xmlns="http://schemas.openxmlformats.org/spreadsheetml/2006/main">
  <numFmts count="2">
    <numFmt numFmtId="164" formatCode="General"/>
    <numFmt numFmtId="165" formatCode="General"/>
  </numFmts>
  <fonts count="16">
    <font>
      <sz val="11"/>
      <color theme="1"/>
      <name val="Calibri"/>
      <family val="2"/>
      <charset val="1"/>
    </font>
    <font>
      <sz val="10"/>
      <name val="Arial"/>
      <family val="0"/>
    </font>
    <font>
      <sz val="10"/>
      <name val="Arial"/>
      <family val="0"/>
    </font>
    <font>
      <sz val="10"/>
      <name val="Arial"/>
      <family val="0"/>
    </font>
    <font>
      <b val="true"/>
      <sz val="11"/>
      <color rgb="FFFCFCFB"/>
      <name val="Arial"/>
      <family val="0"/>
      <charset val="1"/>
    </font>
    <font>
      <b val="true"/>
      <sz val="10"/>
      <name val="Arial"/>
      <family val="0"/>
      <charset val="1"/>
    </font>
    <font>
      <b val="true"/>
      <sz val="10"/>
      <color rgb="FFFFFFFF"/>
      <name val="Arial"/>
      <family val="0"/>
      <charset val="1"/>
    </font>
    <font>
      <b val="true"/>
      <sz val="10"/>
      <color rgb="FF0CA30C"/>
      <name val="Arial"/>
      <family val="0"/>
      <charset val="1"/>
    </font>
    <font>
      <sz val="10"/>
      <name val="Arial"/>
      <family val="0"/>
      <charset val="1"/>
    </font>
    <font>
      <b val="true"/>
      <sz val="11"/>
      <color rgb="FFFFFFFF"/>
      <name val="Arial"/>
      <family val="0"/>
      <charset val="1"/>
    </font>
    <font>
      <sz val="11"/>
      <name val="Arial"/>
      <family val="0"/>
      <charset val="1"/>
    </font>
    <font>
      <b val="true"/>
      <sz val="11"/>
      <name val="Arial"/>
      <family val="0"/>
      <charset val="1"/>
    </font>
    <font>
      <i val="true"/>
      <sz val="9"/>
      <color rgb="FF52514E"/>
      <name val="Arial"/>
      <family val="0"/>
      <charset val="1"/>
    </font>
    <font>
      <b val="true"/>
      <sz val="18"/>
      <color rgb="FF000000"/>
      <name val="Calibri"/>
      <family val="2"/>
    </font>
    <font>
      <sz val="10"/>
      <color rgb="FF000000"/>
      <name val="Calibri"/>
      <family val="2"/>
    </font>
    <font>
      <b val="true"/>
      <sz val="10"/>
      <color rgb="FF000000"/>
      <name val="Calibri"/>
      <family val="2"/>
    </font>
  </fonts>
  <fills count="9">
    <fill>
      <patternFill patternType="none"/>
    </fill>
    <fill>
      <patternFill patternType="gray125"/>
    </fill>
    <fill>
      <patternFill patternType="solid">
        <fgColor rgb="FF0B0B0B"/>
        <bgColor rgb="FF000000"/>
      </patternFill>
    </fill>
    <fill>
      <patternFill patternType="solid">
        <fgColor rgb="FF2A78D6"/>
        <bgColor rgb="FF4F81BD"/>
      </patternFill>
    </fill>
    <fill>
      <patternFill patternType="solid">
        <fgColor rgb="FFEB6834"/>
        <bgColor rgb="FFE87BA4"/>
      </patternFill>
    </fill>
    <fill>
      <patternFill patternType="solid">
        <fgColor rgb="FFEDA100"/>
        <bgColor rgb="FFFFCC00"/>
      </patternFill>
    </fill>
    <fill>
      <patternFill patternType="solid">
        <fgColor rgb="FFE87BA4"/>
        <bgColor rgb="FFFF99CC"/>
      </patternFill>
    </fill>
    <fill>
      <patternFill patternType="solid">
        <fgColor rgb="FF6250D6"/>
        <bgColor rgb="FF333399"/>
      </patternFill>
    </fill>
    <fill>
      <patternFill patternType="solid">
        <fgColor rgb="FF1BAF7A"/>
        <bgColor rgb="FF33CCCC"/>
      </patternFill>
    </fill>
  </fills>
  <borders count="2">
    <border diagonalUp="false" diagonalDown="false">
      <left/>
      <right/>
      <top/>
      <bottom/>
      <diagonal/>
    </border>
    <border diagonalUp="false" diagonalDown="false">
      <left style="thin">
        <color rgb="FFC3C2B7"/>
      </left>
      <right style="thin">
        <color rgb="FFC3C2B7"/>
      </right>
      <top style="thin">
        <color rgb="FFC3C2B7"/>
      </top>
      <bottom style="thin">
        <color rgb="FFC3C2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true" indent="0" shrinkToFit="false"/>
      <protection locked="true" hidden="false"/>
    </xf>
    <xf numFmtId="164" fontId="6" fillId="6" borderId="1" xfId="0" applyFont="true" applyBorder="true" applyAlignment="true" applyProtection="false">
      <alignment horizontal="center" vertical="top" textRotation="0" wrapText="true" indent="0" shrinkToFit="false"/>
      <protection locked="true" hidden="false"/>
    </xf>
    <xf numFmtId="164" fontId="6" fillId="7" borderId="1" xfId="0" applyFont="true" applyBorder="true" applyAlignment="true" applyProtection="false">
      <alignment horizontal="center" vertical="top" textRotation="0" wrapText="true" indent="0" shrinkToFit="false"/>
      <protection locked="true" hidden="false"/>
    </xf>
    <xf numFmtId="164" fontId="6" fillId="8" borderId="1" xfId="0" applyFont="true" applyBorder="true" applyAlignment="true" applyProtection="false">
      <alignment horizontal="center" vertical="top" textRotation="0" wrapText="tru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64" fontId="9" fillId="8" borderId="1" xfId="0" applyFont="true" applyBorder="true" applyAlignment="true" applyProtection="false">
      <alignment horizontal="center" vertical="bottom" textRotation="0" wrapText="false" indent="0" shrinkToFit="false"/>
      <protection locked="true" hidden="false"/>
    </xf>
    <xf numFmtId="164" fontId="9" fillId="5" borderId="1" xfId="0" applyFont="true" applyBorder="true" applyAlignment="true" applyProtection="false">
      <alignment horizontal="center" vertical="bottom" textRotation="0" wrapText="false" indent="0" shrinkToFit="false"/>
      <protection locked="true" hidden="false"/>
    </xf>
    <xf numFmtId="164" fontId="9" fillId="6" borderId="1" xfId="0" applyFont="true" applyBorder="true" applyAlignment="true" applyProtection="false">
      <alignment horizontal="center" vertical="bottom" textRotation="0" wrapText="false" indent="0" shrinkToFit="false"/>
      <protection locked="true" hidden="false"/>
    </xf>
    <xf numFmtId="164" fontId="9" fillId="7"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0B0B0B"/>
          <bgColor rgb="FF000000"/>
        </patternFill>
      </fill>
    </dxf>
    <dxf>
      <fill>
        <patternFill patternType="solid">
          <bgColor rgb="FF000000"/>
        </patternFill>
      </fill>
    </dxf>
    <dxf>
      <fill>
        <patternFill patternType="solid">
          <fgColor rgb="FFFCFCFB"/>
          <bgColor rgb="FF000000"/>
        </patternFill>
      </fill>
    </dxf>
    <dxf>
      <fill>
        <patternFill patternType="solid">
          <fgColor rgb="FF1BAF7A"/>
          <bgColor rgb="FF000000"/>
        </patternFill>
      </fill>
    </dxf>
    <dxf>
      <fill>
        <patternFill patternType="solid">
          <fgColor rgb="FF2A78D6"/>
          <bgColor rgb="FF000000"/>
        </patternFill>
      </fill>
    </dxf>
    <dxf>
      <fill>
        <patternFill patternType="solid">
          <fgColor rgb="FF6250D6"/>
          <bgColor rgb="FF000000"/>
        </patternFill>
      </fill>
    </dxf>
    <dxf>
      <fill>
        <patternFill patternType="solid">
          <fgColor rgb="FFE87BA4"/>
          <bgColor rgb="FF000000"/>
        </patternFill>
      </fill>
    </dxf>
    <dxf>
      <fill>
        <patternFill patternType="solid">
          <fgColor rgb="FFEB6834"/>
          <bgColor rgb="FF000000"/>
        </patternFill>
      </fill>
    </dxf>
    <dxf>
      <fill>
        <patternFill patternType="solid">
          <fgColor rgb="FFEDA100"/>
          <bgColor rgb="FF000000"/>
        </patternFill>
      </fill>
    </dxf>
    <dxf>
      <fill>
        <patternFill patternType="solid">
          <fgColor rgb="FFFFFFFF"/>
          <bgColor rgb="FF000000"/>
        </patternFill>
      </fill>
    </dxf>
    <dxf>
      <fill>
        <patternFill patternType="solid">
          <fgColor rgb="FF0CA30C"/>
          <bgColor rgb="FF000000"/>
        </patternFill>
      </fill>
    </dxf>
  </dxfs>
  <colors>
    <indexedColors>
      <rgbColor rgb="FF000000"/>
      <rgbColor rgb="FFFFFFFF"/>
      <rgbColor rgb="FFFF0000"/>
      <rgbColor rgb="FF00FF00"/>
      <rgbColor rgb="FF0000FF"/>
      <rgbColor rgb="FFFFFF00"/>
      <rgbColor rgb="FFFF00FF"/>
      <rgbColor rgb="FF00FFFF"/>
      <rgbColor rgb="FF800000"/>
      <rgbColor rgb="FF0CA30C"/>
      <rgbColor rgb="FF000080"/>
      <rgbColor rgb="FF808000"/>
      <rgbColor rgb="FF800080"/>
      <rgbColor rgb="FF008080"/>
      <rgbColor rgb="FFC3C2B7"/>
      <rgbColor rgb="FF878787"/>
      <rgbColor rgb="FF9999FF"/>
      <rgbColor rgb="FF993366"/>
      <rgbColor rgb="FFFCFCFB"/>
      <rgbColor rgb="FFF9F9F9"/>
      <rgbColor rgb="FF660066"/>
      <rgbColor rgb="FFE87BA4"/>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A78D6"/>
      <rgbColor rgb="FF33CCCC"/>
      <rgbColor rgb="FF99CC00"/>
      <rgbColor rgb="FFFFCC00"/>
      <rgbColor rgb="FFEDA100"/>
      <rgbColor rgb="FFEB6834"/>
      <rgbColor rgb="FF6250D6"/>
      <rgbColor rgb="FF4F81BD"/>
      <rgbColor rgb="FF003366"/>
      <rgbColor rgb="FF1BAF7A"/>
      <rgbColor rgb="FF0B0B0B"/>
      <rgbColor rgb="FF333300"/>
      <rgbColor rgb="FF993300"/>
      <rgbColor rgb="FF993366"/>
      <rgbColor rgb="FF333399"/>
      <rgbColor rgb="FF5251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Terraform files by category</a:t>
            </a:r>
          </a:p>
        </c:rich>
      </c:tx>
      <c:overlay val="0"/>
      <c:spPr>
        <a:noFill/>
        <a:ln w="0">
          <a:noFill/>
        </a:ln>
      </c:spPr>
    </c:title>
    <c:autoTitleDeleted val="0"/>
    <c:plotArea>
      <c:barChart>
        <c:barDir val="col"/>
        <c:grouping val="clustered"/>
        <c:varyColors val="0"/>
        <c:ser>
          <c:idx val="0"/>
          <c:order val="0"/>
          <c:tx>
            <c:strRef>
              <c:f>'Category Summary'!B1</c:f>
              <c:strCache>
                <c:ptCount val="1"/>
                <c:pt idx="0">
                  <c:v>File Count</c:v>
                </c:pt>
              </c:strCache>
            </c:strRef>
          </c:tx>
          <c:spPr>
            <a:solidFill>
              <a:srgbClr val="4f81bd"/>
            </a:solidFill>
            <a:ln w="9360">
              <a:solidFill>
                <a:srgbClr val="f9f9f9"/>
              </a:solidFill>
              <a:round/>
            </a:ln>
          </c:spPr>
          <c:invertIfNegative val="0"/>
          <c:dPt>
            <c:idx val="0"/>
            <c:invertIfNegative val="0"/>
            <c:spPr>
              <a:solidFill>
                <a:srgbClr val="2a78d6"/>
              </a:solidFill>
              <a:ln w="9360">
                <a:solidFill>
                  <a:srgbClr val="f9f9f9"/>
                </a:solidFill>
                <a:round/>
              </a:ln>
            </c:spPr>
          </c:dPt>
          <c:dPt>
            <c:idx val="1"/>
            <c:invertIfNegative val="0"/>
            <c:spPr>
              <a:solidFill>
                <a:srgbClr val="eb6834"/>
              </a:solidFill>
              <a:ln w="9360">
                <a:solidFill>
                  <a:srgbClr val="f9f9f9"/>
                </a:solidFill>
                <a:round/>
              </a:ln>
            </c:spPr>
          </c:dPt>
          <c:dPt>
            <c:idx val="2"/>
            <c:invertIfNegative val="0"/>
            <c:spPr>
              <a:solidFill>
                <a:srgbClr val="1baf7a"/>
              </a:solidFill>
              <a:ln w="9360">
                <a:solidFill>
                  <a:srgbClr val="f9f9f9"/>
                </a:solidFill>
                <a:round/>
              </a:ln>
            </c:spPr>
          </c:dPt>
          <c:dPt>
            <c:idx val="3"/>
            <c:invertIfNegative val="0"/>
            <c:spPr>
              <a:solidFill>
                <a:srgbClr val="eda100"/>
              </a:solidFill>
              <a:ln w="9360">
                <a:solidFill>
                  <a:srgbClr val="f9f9f9"/>
                </a:solidFill>
                <a:round/>
              </a:ln>
            </c:spPr>
          </c:dPt>
          <c:dPt>
            <c:idx val="4"/>
            <c:invertIfNegative val="0"/>
            <c:spPr>
              <a:solidFill>
                <a:srgbClr val="e87ba4"/>
              </a:solidFill>
              <a:ln w="9360">
                <a:solidFill>
                  <a:srgbClr val="f9f9f9"/>
                </a:solidFill>
                <a:round/>
              </a:ln>
            </c:spPr>
          </c:dPt>
          <c:dPt>
            <c:idx val="5"/>
            <c:invertIfNegative val="0"/>
            <c:spPr>
              <a:solidFill>
                <a:srgbClr val="6250d6"/>
              </a:solidFill>
              <a:ln w="9360">
                <a:solidFill>
                  <a:srgbClr val="f9f9f9"/>
                </a:solidFill>
                <a:round/>
              </a:ln>
            </c:spPr>
          </c:dPt>
          <c:dLbls>
            <c:numFmt formatCode="General" sourceLinked="1"/>
            <c:dLbl>
              <c:idx val="0"/>
              <c:numFmt formatCode="General" sourceLinked="1"/>
              <c:txPr>
                <a:bodyPr wrap="square"/>
                <a:lstStyle/>
                <a:p>
                  <a:pPr>
                    <a:defRPr b="0" sz="1000" spc="-1" strike="noStrike">
                      <a:solidFill>
                        <a:srgbClr val="000000"/>
                      </a:solidFill>
                      <a:latin typeface="Calibri"/>
                    </a:defRPr>
                  </a:pPr>
                </a:p>
              </c:txPr>
              <c:dLblPos val="outEnd"/>
              <c:showLegendKey val="1"/>
              <c:showVal val="1"/>
              <c:showCatName val="1"/>
              <c:showSerName val="1"/>
              <c:showPercent val="0"/>
              <c:separator>; </c:separator>
            </c:dLbl>
            <c:dLbl>
              <c:idx val="1"/>
              <c:numFmt formatCode="General" sourceLinked="1"/>
              <c:txPr>
                <a:bodyPr wrap="square"/>
                <a:lstStyle/>
                <a:p>
                  <a:pPr>
                    <a:defRPr b="0" sz="1000" spc="-1" strike="noStrike">
                      <a:solidFill>
                        <a:srgbClr val="000000"/>
                      </a:solidFill>
                      <a:latin typeface="Calibri"/>
                    </a:defRPr>
                  </a:pPr>
                </a:p>
              </c:txPr>
              <c:dLblPos val="outEnd"/>
              <c:showLegendKey val="1"/>
              <c:showVal val="1"/>
              <c:showCatName val="1"/>
              <c:showSerName val="1"/>
              <c:showPercent val="0"/>
              <c:separator>; </c:separator>
            </c:dLbl>
            <c:dLbl>
              <c:idx val="2"/>
              <c:numFmt formatCode="General" sourceLinked="1"/>
              <c:txPr>
                <a:bodyPr wrap="square"/>
                <a:lstStyle/>
                <a:p>
                  <a:pPr>
                    <a:defRPr b="0" sz="1000" spc="-1" strike="noStrike">
                      <a:solidFill>
                        <a:srgbClr val="000000"/>
                      </a:solidFill>
                      <a:latin typeface="Calibri"/>
                    </a:defRPr>
                  </a:pPr>
                </a:p>
              </c:txPr>
              <c:dLblPos val="outEnd"/>
              <c:showLegendKey val="1"/>
              <c:showVal val="1"/>
              <c:showCatName val="1"/>
              <c:showSerName val="1"/>
              <c:showPercent val="0"/>
              <c:separator>; </c:separator>
            </c:dLbl>
            <c:dLbl>
              <c:idx val="3"/>
              <c:numFmt formatCode="General" sourceLinked="1"/>
              <c:txPr>
                <a:bodyPr wrap="square"/>
                <a:lstStyle/>
                <a:p>
                  <a:pPr>
                    <a:defRPr b="0" sz="1000" spc="-1" strike="noStrike">
                      <a:solidFill>
                        <a:srgbClr val="000000"/>
                      </a:solidFill>
                      <a:latin typeface="Calibri"/>
                    </a:defRPr>
                  </a:pPr>
                </a:p>
              </c:txPr>
              <c:dLblPos val="outEnd"/>
              <c:showLegendKey val="1"/>
              <c:showVal val="1"/>
              <c:showCatName val="1"/>
              <c:showSerName val="1"/>
              <c:showPercent val="0"/>
              <c:separator>; </c:separator>
            </c:dLbl>
            <c:dLbl>
              <c:idx val="4"/>
              <c:numFmt formatCode="General" sourceLinked="1"/>
              <c:txPr>
                <a:bodyPr wrap="square"/>
                <a:lstStyle/>
                <a:p>
                  <a:pPr>
                    <a:defRPr b="0" sz="1000" spc="-1" strike="noStrike">
                      <a:solidFill>
                        <a:srgbClr val="000000"/>
                      </a:solidFill>
                      <a:latin typeface="Calibri"/>
                    </a:defRPr>
                  </a:pPr>
                </a:p>
              </c:txPr>
              <c:dLblPos val="outEnd"/>
              <c:showLegendKey val="1"/>
              <c:showVal val="1"/>
              <c:showCatName val="1"/>
              <c:showSerName val="1"/>
              <c:showPercent val="0"/>
              <c:separator>; </c:separator>
            </c:dLbl>
            <c:dLbl>
              <c:idx val="5"/>
              <c:numFmt formatCode="General" sourceLinked="1"/>
              <c:txPr>
                <a:bodyPr wrap="square"/>
                <a:lstStyle/>
                <a:p>
                  <a:pPr>
                    <a:defRPr b="0" sz="1000" spc="-1" strike="noStrike">
                      <a:solidFill>
                        <a:srgbClr val="000000"/>
                      </a:solidFill>
                      <a:latin typeface="Calibri"/>
                    </a:defRPr>
                  </a:pPr>
                </a:p>
              </c:txPr>
              <c:dLblPos val="outEnd"/>
              <c:showLegendKey val="1"/>
              <c:showVal val="1"/>
              <c:showCatName val="1"/>
              <c:showSerName val="1"/>
              <c:showPercent val="0"/>
              <c:separator>; </c:separator>
            </c:dLbl>
            <c:txPr>
              <a:bodyPr wrap="square"/>
              <a:lstStyle/>
              <a:p>
                <a:pPr>
                  <a:defRPr b="0" sz="1000" spc="-1" strike="noStrike">
                    <a:solidFill>
                      <a:srgbClr val="000000"/>
                    </a:solidFill>
                    <a:latin typeface="Calibri"/>
                  </a:defRPr>
                </a:pPr>
              </a:p>
            </c:txPr>
            <c:dLblPos val="outEnd"/>
            <c:showLegendKey val="1"/>
            <c:showVal val="1"/>
            <c:showCatName val="1"/>
            <c:showSerName val="1"/>
            <c:showPercent val="0"/>
            <c:separator>; </c:separator>
            <c:showLeaderLines val="1"/>
            <c:extLst>
              <c:ext xmlns:c15="http://schemas.microsoft.com/office/drawing/2012/chart" uri="{CE6537A1-D6FC-4f65-9D91-7224C49458BB}">
                <c15:showLeaderLines val="1"/>
              </c:ext>
            </c:extLst>
          </c:dLbls>
          <c:cat>
            <c:strRef>
              <c:f>'Category Summary'!$A$2:$A$7</c:f>
              <c:strCache>
                <c:ptCount val="6"/>
                <c:pt idx="0">
                  <c:v>Foundation</c:v>
                </c:pt>
                <c:pt idx="1">
                  <c:v>Networking</c:v>
                </c:pt>
                <c:pt idx="2">
                  <c:v>Access / Identity</c:v>
                </c:pt>
                <c:pt idx="3">
                  <c:v>Compute</c:v>
                </c:pt>
                <c:pt idx="4">
                  <c:v>Security</c:v>
                </c:pt>
                <c:pt idx="5">
                  <c:v>Data</c:v>
                </c:pt>
              </c:strCache>
            </c:strRef>
          </c:cat>
          <c:val>
            <c:numRef>
              <c:f>'Category Summary'!$B$2:$B$7</c:f>
              <c:numCache>
                <c:formatCode>General</c:formatCode>
                <c:ptCount val="6"/>
                <c:pt idx="0">
                  <c:v>4</c:v>
                </c:pt>
                <c:pt idx="1">
                  <c:v>6</c:v>
                </c:pt>
                <c:pt idx="2">
                  <c:v>2</c:v>
                </c:pt>
                <c:pt idx="3">
                  <c:v>2</c:v>
                </c:pt>
                <c:pt idx="4">
                  <c:v>1</c:v>
                </c:pt>
                <c:pt idx="5">
                  <c:v>4</c:v>
                </c:pt>
              </c:numCache>
            </c:numRef>
          </c:val>
        </c:ser>
        <c:gapWidth val="60"/>
        <c:overlap val="0"/>
        <c:axId val="16459154"/>
        <c:axId val="78775624"/>
      </c:barChart>
      <c:catAx>
        <c:axId val="1645915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775624"/>
        <c:crosses val="autoZero"/>
        <c:auto val="1"/>
        <c:lblAlgn val="ctr"/>
        <c:lblOffset val="100"/>
        <c:noMultiLvlLbl val="0"/>
      </c:catAx>
      <c:valAx>
        <c:axId val="7877562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of files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645915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xdr:row>
      <xdr:rowOff>0</xdr:rowOff>
    </xdr:from>
    <xdr:to>
      <xdr:col>13</xdr:col>
      <xdr:colOff>363960</xdr:colOff>
      <xdr:row>19</xdr:row>
      <xdr:rowOff>169920</xdr:rowOff>
    </xdr:to>
    <xdr:graphicFrame>
      <xdr:nvGraphicFramePr>
        <xdr:cNvPr id="0" name="Chart 1"/>
        <xdr:cNvGraphicFramePr/>
      </xdr:nvGraphicFramePr>
      <xdr:xfrm>
        <a:off x="2937600" y="190440"/>
        <a:ext cx="6478920" cy="359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FileReference" displayName="FileReference" ref="A1:F20" headerRowCount="1" totalsRowCount="0" totalsRowShown="0">
  <autoFilter ref="A1:F20"/>
  <tableColumns count="6">
    <tableColumn id="1" name="File"/>
    <tableColumn id="2" name="Category"/>
    <tableColumn id="3" name="Status"/>
    <tableColumn id="4" name="What It Provisions"/>
    <tableColumn id="5" name="Key Resources"/>
    <tableColumn id="6" name="Notes / Dependenci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7"/>
    <col collapsed="false" customWidth="true" hidden="false" outlineLevel="0" max="3" min="3" style="1" width="10"/>
    <col collapsed="false" customWidth="true" hidden="false" outlineLevel="0" max="4" min="4" style="1" width="46"/>
    <col collapsed="false" customWidth="true" hidden="false" outlineLevel="0" max="5" min="5" style="1" width="55"/>
    <col collapsed="false" customWidth="true" hidden="false" outlineLevel="0" max="6" min="6" style="1" width="62"/>
  </cols>
  <sheetData>
    <row r="1" customFormat="false" ht="19.5" hidden="false" customHeight="true" outlineLevel="0" collapsed="false">
      <c r="A1" s="2" t="s">
        <v>0</v>
      </c>
      <c r="B1" s="2" t="s">
        <v>1</v>
      </c>
      <c r="C1" s="2" t="s">
        <v>2</v>
      </c>
      <c r="D1" s="2" t="s">
        <v>3</v>
      </c>
      <c r="E1" s="2" t="s">
        <v>4</v>
      </c>
      <c r="F1" s="2" t="s">
        <v>5</v>
      </c>
    </row>
    <row r="2" customFormat="false" ht="60" hidden="false" customHeight="true" outlineLevel="0" collapsed="false">
      <c r="A2" s="3" t="s">
        <v>6</v>
      </c>
      <c r="B2" s="4" t="s">
        <v>7</v>
      </c>
      <c r="C2" s="5" t="s">
        <v>8</v>
      </c>
      <c r="D2" s="6" t="s">
        <v>9</v>
      </c>
      <c r="E2" s="6" t="s">
        <v>10</v>
      </c>
      <c r="F2" s="6" t="s">
        <v>11</v>
      </c>
    </row>
    <row r="3" customFormat="false" ht="60" hidden="false" customHeight="true" outlineLevel="0" collapsed="false">
      <c r="A3" s="3" t="s">
        <v>12</v>
      </c>
      <c r="B3" s="4" t="s">
        <v>7</v>
      </c>
      <c r="C3" s="5" t="s">
        <v>8</v>
      </c>
      <c r="D3" s="6" t="s">
        <v>13</v>
      </c>
      <c r="E3" s="6" t="s">
        <v>14</v>
      </c>
      <c r="F3" s="6" t="s">
        <v>15</v>
      </c>
    </row>
    <row r="4" customFormat="false" ht="60" hidden="false" customHeight="true" outlineLevel="0" collapsed="false">
      <c r="A4" s="3" t="s">
        <v>16</v>
      </c>
      <c r="B4" s="4" t="s">
        <v>7</v>
      </c>
      <c r="C4" s="5" t="s">
        <v>8</v>
      </c>
      <c r="D4" s="6" t="s">
        <v>17</v>
      </c>
      <c r="E4" s="6" t="s">
        <v>18</v>
      </c>
      <c r="F4" s="6" t="s">
        <v>19</v>
      </c>
    </row>
    <row r="5" customFormat="false" ht="60" hidden="false" customHeight="true" outlineLevel="0" collapsed="false">
      <c r="A5" s="3" t="s">
        <v>20</v>
      </c>
      <c r="B5" s="4" t="s">
        <v>7</v>
      </c>
      <c r="C5" s="5" t="s">
        <v>8</v>
      </c>
      <c r="D5" s="6" t="s">
        <v>21</v>
      </c>
      <c r="E5" s="6" t="s">
        <v>22</v>
      </c>
      <c r="F5" s="6" t="s">
        <v>23</v>
      </c>
    </row>
    <row r="6" customFormat="false" ht="60" hidden="false" customHeight="true" outlineLevel="0" collapsed="false">
      <c r="A6" s="3" t="s">
        <v>24</v>
      </c>
      <c r="B6" s="7" t="s">
        <v>25</v>
      </c>
      <c r="C6" s="5" t="s">
        <v>8</v>
      </c>
      <c r="D6" s="6" t="s">
        <v>26</v>
      </c>
      <c r="E6" s="6" t="s">
        <v>27</v>
      </c>
      <c r="F6" s="6" t="s">
        <v>28</v>
      </c>
    </row>
    <row r="7" customFormat="false" ht="60" hidden="false" customHeight="true" outlineLevel="0" collapsed="false">
      <c r="A7" s="3" t="s">
        <v>29</v>
      </c>
      <c r="B7" s="7" t="s">
        <v>25</v>
      </c>
      <c r="C7" s="5" t="s">
        <v>8</v>
      </c>
      <c r="D7" s="6" t="s">
        <v>30</v>
      </c>
      <c r="E7" s="6" t="s">
        <v>31</v>
      </c>
      <c r="F7" s="6" t="s">
        <v>32</v>
      </c>
    </row>
    <row r="8" customFormat="false" ht="60" hidden="false" customHeight="true" outlineLevel="0" collapsed="false">
      <c r="A8" s="3" t="s">
        <v>33</v>
      </c>
      <c r="B8" s="7" t="s">
        <v>25</v>
      </c>
      <c r="C8" s="5" t="s">
        <v>8</v>
      </c>
      <c r="D8" s="6" t="s">
        <v>34</v>
      </c>
      <c r="E8" s="6" t="s">
        <v>35</v>
      </c>
      <c r="F8" s="6" t="s">
        <v>36</v>
      </c>
    </row>
    <row r="9" customFormat="false" ht="60" hidden="false" customHeight="true" outlineLevel="0" collapsed="false">
      <c r="A9" s="3" t="s">
        <v>37</v>
      </c>
      <c r="B9" s="7" t="s">
        <v>25</v>
      </c>
      <c r="C9" s="5" t="s">
        <v>8</v>
      </c>
      <c r="D9" s="6" t="s">
        <v>38</v>
      </c>
      <c r="E9" s="6" t="s">
        <v>39</v>
      </c>
      <c r="F9" s="6" t="s">
        <v>40</v>
      </c>
    </row>
    <row r="10" customFormat="false" ht="60" hidden="false" customHeight="true" outlineLevel="0" collapsed="false">
      <c r="A10" s="3" t="s">
        <v>41</v>
      </c>
      <c r="B10" s="8" t="s">
        <v>42</v>
      </c>
      <c r="C10" s="5" t="s">
        <v>8</v>
      </c>
      <c r="D10" s="6" t="s">
        <v>43</v>
      </c>
      <c r="E10" s="6" t="s">
        <v>44</v>
      </c>
      <c r="F10" s="6" t="s">
        <v>45</v>
      </c>
    </row>
    <row r="11" customFormat="false" ht="60" hidden="false" customHeight="true" outlineLevel="0" collapsed="false">
      <c r="A11" s="3" t="s">
        <v>46</v>
      </c>
      <c r="B11" s="8" t="s">
        <v>42</v>
      </c>
      <c r="C11" s="5" t="s">
        <v>8</v>
      </c>
      <c r="D11" s="6" t="s">
        <v>47</v>
      </c>
      <c r="E11" s="6" t="s">
        <v>48</v>
      </c>
      <c r="F11" s="6" t="s">
        <v>49</v>
      </c>
    </row>
    <row r="12" customFormat="false" ht="60" hidden="false" customHeight="true" outlineLevel="0" collapsed="false">
      <c r="A12" s="3" t="s">
        <v>50</v>
      </c>
      <c r="B12" s="9" t="s">
        <v>51</v>
      </c>
      <c r="C12" s="5" t="s">
        <v>8</v>
      </c>
      <c r="D12" s="6" t="s">
        <v>52</v>
      </c>
      <c r="E12" s="6" t="s">
        <v>53</v>
      </c>
      <c r="F12" s="6" t="s">
        <v>54</v>
      </c>
    </row>
    <row r="13" customFormat="false" ht="60" hidden="false" customHeight="true" outlineLevel="0" collapsed="false">
      <c r="A13" s="3" t="s">
        <v>55</v>
      </c>
      <c r="B13" s="10" t="s">
        <v>56</v>
      </c>
      <c r="C13" s="5" t="s">
        <v>8</v>
      </c>
      <c r="D13" s="6" t="s">
        <v>57</v>
      </c>
      <c r="E13" s="6" t="s">
        <v>58</v>
      </c>
      <c r="F13" s="6" t="s">
        <v>59</v>
      </c>
    </row>
    <row r="14" customFormat="false" ht="60" hidden="false" customHeight="true" outlineLevel="0" collapsed="false">
      <c r="A14" s="3" t="s">
        <v>60</v>
      </c>
      <c r="B14" s="10" t="s">
        <v>56</v>
      </c>
      <c r="C14" s="5" t="s">
        <v>8</v>
      </c>
      <c r="D14" s="6" t="s">
        <v>61</v>
      </c>
      <c r="E14" s="6" t="s">
        <v>62</v>
      </c>
      <c r="F14" s="6" t="s">
        <v>63</v>
      </c>
    </row>
    <row r="15" customFormat="false" ht="60" hidden="false" customHeight="true" outlineLevel="0" collapsed="false">
      <c r="A15" s="3" t="s">
        <v>64</v>
      </c>
      <c r="B15" s="10" t="s">
        <v>56</v>
      </c>
      <c r="C15" s="5" t="s">
        <v>8</v>
      </c>
      <c r="D15" s="6" t="s">
        <v>65</v>
      </c>
      <c r="E15" s="6" t="s">
        <v>66</v>
      </c>
      <c r="F15" s="6" t="s">
        <v>67</v>
      </c>
    </row>
    <row r="16" customFormat="false" ht="60" hidden="false" customHeight="true" outlineLevel="0" collapsed="false">
      <c r="A16" s="3" t="s">
        <v>68</v>
      </c>
      <c r="B16" s="11" t="s">
        <v>69</v>
      </c>
      <c r="C16" s="5" t="s">
        <v>8</v>
      </c>
      <c r="D16" s="6" t="s">
        <v>70</v>
      </c>
      <c r="E16" s="6" t="s">
        <v>71</v>
      </c>
      <c r="F16" s="6" t="s">
        <v>72</v>
      </c>
    </row>
    <row r="17" customFormat="false" ht="60" hidden="false" customHeight="true" outlineLevel="0" collapsed="false">
      <c r="A17" s="3" t="s">
        <v>73</v>
      </c>
      <c r="B17" s="11" t="s">
        <v>69</v>
      </c>
      <c r="C17" s="5" t="s">
        <v>8</v>
      </c>
      <c r="D17" s="6" t="s">
        <v>74</v>
      </c>
      <c r="E17" s="6" t="s">
        <v>75</v>
      </c>
      <c r="F17" s="6" t="s">
        <v>76</v>
      </c>
    </row>
    <row r="18" customFormat="false" ht="60" hidden="false" customHeight="true" outlineLevel="0" collapsed="false">
      <c r="A18" s="3" t="s">
        <v>77</v>
      </c>
      <c r="B18" s="7" t="s">
        <v>25</v>
      </c>
      <c r="C18" s="5" t="s">
        <v>8</v>
      </c>
      <c r="D18" s="6" t="s">
        <v>78</v>
      </c>
      <c r="E18" s="6" t="s">
        <v>79</v>
      </c>
      <c r="F18" s="6" t="s">
        <v>80</v>
      </c>
    </row>
    <row r="19" customFormat="false" ht="60" hidden="false" customHeight="true" outlineLevel="0" collapsed="false">
      <c r="A19" s="3" t="s">
        <v>81</v>
      </c>
      <c r="B19" s="7" t="s">
        <v>25</v>
      </c>
      <c r="C19" s="5" t="s">
        <v>8</v>
      </c>
      <c r="D19" s="6" t="s">
        <v>82</v>
      </c>
      <c r="E19" s="6" t="s">
        <v>83</v>
      </c>
      <c r="F19" s="6" t="s">
        <v>84</v>
      </c>
    </row>
    <row r="20" customFormat="false" ht="109.5" hidden="false" customHeight="true" outlineLevel="0" collapsed="false">
      <c r="A20" s="3" t="s">
        <v>85</v>
      </c>
      <c r="B20" s="10" t="s">
        <v>56</v>
      </c>
      <c r="C20" s="5" t="s">
        <v>8</v>
      </c>
      <c r="D20" s="6" t="s">
        <v>86</v>
      </c>
      <c r="E20" s="6" t="s">
        <v>87</v>
      </c>
      <c r="F20" s="6" t="s">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3"/>
  </cols>
  <sheetData>
    <row r="1" customFormat="false" ht="15" hidden="false" customHeight="true" outlineLevel="0" collapsed="false">
      <c r="A1" s="12" t="s">
        <v>1</v>
      </c>
      <c r="B1" s="12" t="s">
        <v>89</v>
      </c>
    </row>
    <row r="2" customFormat="false" ht="15" hidden="false" customHeight="true" outlineLevel="0" collapsed="false">
      <c r="A2" s="13" t="s">
        <v>7</v>
      </c>
      <c r="B2" s="14" t="n">
        <f aca="false">COUNTIF('File Reference'!$B$2:$B$20,A2)</f>
        <v>4</v>
      </c>
    </row>
    <row r="3" customFormat="false" ht="15" hidden="false" customHeight="true" outlineLevel="0" collapsed="false">
      <c r="A3" s="15" t="s">
        <v>25</v>
      </c>
      <c r="B3" s="14" t="n">
        <f aca="false">COUNTIF('File Reference'!$B$2:$B$20,A3)</f>
        <v>6</v>
      </c>
    </row>
    <row r="4" customFormat="false" ht="15" hidden="false" customHeight="true" outlineLevel="0" collapsed="false">
      <c r="A4" s="16" t="s">
        <v>69</v>
      </c>
      <c r="B4" s="14" t="n">
        <f aca="false">COUNTIF('File Reference'!$B$2:$B$20,A4)</f>
        <v>2</v>
      </c>
    </row>
    <row r="5" customFormat="false" ht="15" hidden="false" customHeight="true" outlineLevel="0" collapsed="false">
      <c r="A5" s="17" t="s">
        <v>42</v>
      </c>
      <c r="B5" s="14" t="n">
        <f aca="false">COUNTIF('File Reference'!$B$2:$B$20,A5)</f>
        <v>2</v>
      </c>
    </row>
    <row r="6" customFormat="false" ht="15" hidden="false" customHeight="true" outlineLevel="0" collapsed="false">
      <c r="A6" s="18" t="s">
        <v>51</v>
      </c>
      <c r="B6" s="14" t="n">
        <f aca="false">COUNTIF('File Reference'!$B$2:$B$20,A6)</f>
        <v>1</v>
      </c>
    </row>
    <row r="7" customFormat="false" ht="15" hidden="false" customHeight="true" outlineLevel="0" collapsed="false">
      <c r="A7" s="19" t="s">
        <v>56</v>
      </c>
      <c r="B7" s="14" t="n">
        <f aca="false">COUNTIF('File Reference'!$B$2:$B$20,A7)</f>
        <v>4</v>
      </c>
    </row>
    <row r="8" customFormat="false" ht="15" hidden="false" customHeight="true" outlineLevel="0" collapsed="false">
      <c r="A8" s="20" t="s">
        <v>90</v>
      </c>
      <c r="B8" s="20" t="n">
        <f aca="false">SUM(B2:B7)</f>
        <v>19</v>
      </c>
    </row>
    <row r="11" customFormat="false" ht="15" hidden="false" customHeight="true" outlineLevel="0" collapsed="false">
      <c r="A11" s="21" t="s">
        <v>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2026-10-12T07:22:44Z</dcterms:created>
  <dc:creator>openpyxl</dc:creator>
  <dc:description/>
  <dc:language>en-US</dc:language>
  <cp:lastModifiedBy/>
  <dcterms:modified xsi:type="dcterms:W3CDTF">2026-10-12T09:18:28Z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